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Tracking" sheetId="1" state="visible" r:id="rId1"/>
    <sheet name="Burndown Data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PLC Control Narrative Burndown Chart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 Data'!C1</f>
            </strRef>
          </tx>
          <spPr>
            <a:ln w="25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'Burndown Data'!$A$2:$A$69</f>
            </numRef>
          </cat>
          <val>
            <numRef>
              <f>'Burndown Data'!$C$2:$C$69</f>
            </numRef>
          </val>
        </ser>
        <ser>
          <idx val="1"/>
          <order val="1"/>
          <tx>
            <strRef>
              <f>'Burndown Data'!D1</f>
            </strRef>
          </tx>
          <spPr>
            <a:ln w="25000">
              <a:solidFill>
                <a:srgbClr val="0000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'Burndown Data'!$A$2:$A$69</f>
            </numRef>
          </cat>
          <val>
            <numRef>
              <f>'Burndown Data'!$D$2:$D$69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Work Days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PLCs Remaining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30" customWidth="1" min="11" max="11"/>
  </cols>
  <sheetData>
    <row r="1">
      <c r="A1" s="1" t="inlineStr">
        <is>
          <t>PLC #</t>
        </is>
      </c>
      <c r="B1" s="1" t="inlineStr">
        <is>
          <t>PLC Name</t>
        </is>
      </c>
      <c r="C1" s="1" t="inlineStr">
        <is>
          <t>PLC Type</t>
        </is>
      </c>
      <c r="D1" s="1" t="inlineStr">
        <is>
          <t>Planned Start</t>
        </is>
      </c>
      <c r="E1" s="1" t="inlineStr">
        <is>
          <t>Planned End</t>
        </is>
      </c>
      <c r="F1" s="1" t="inlineStr">
        <is>
          <t>Alarm Summary Complete</t>
        </is>
      </c>
      <c r="G1" s="1" t="inlineStr">
        <is>
          <t>Cause &amp; Effect Complete</t>
        </is>
      </c>
      <c r="H1" s="1" t="inlineStr">
        <is>
          <t>Both Documents Complete</t>
        </is>
      </c>
      <c r="I1" s="1" t="inlineStr">
        <is>
          <t>Actual Complete Date</t>
        </is>
      </c>
      <c r="J1" s="1" t="inlineStr">
        <is>
          <t>Status</t>
        </is>
      </c>
      <c r="K1" s="1" t="inlineStr">
        <is>
          <t>Notes</t>
        </is>
      </c>
    </row>
    <row r="2">
      <c r="A2" s="2" t="n">
        <v>1</v>
      </c>
      <c r="B2" s="3" t="inlineStr">
        <is>
          <t>VRU PLC 1</t>
        </is>
      </c>
      <c r="C2" s="3" t="inlineStr"/>
      <c r="D2" s="2" t="inlineStr">
        <is>
          <t>12/10/2025</t>
        </is>
      </c>
      <c r="E2" s="2" t="inlineStr">
        <is>
          <t>12/11/2025</t>
        </is>
      </c>
      <c r="F2" s="2" t="n"/>
      <c r="G2" s="2" t="n"/>
      <c r="H2" s="2" t="n"/>
      <c r="I2" s="2" t="n"/>
      <c r="J2" s="2">
        <f>IF(H2="X","Complete",IF(OR(F2="X",G2="X"),"In Progress","Not Started"))</f>
        <v/>
      </c>
      <c r="K2" s="3" t="n"/>
    </row>
    <row r="3">
      <c r="A3" s="2" t="n">
        <v>2</v>
      </c>
      <c r="B3" s="3" t="inlineStr">
        <is>
          <t>VRU PLC 2</t>
        </is>
      </c>
      <c r="C3" s="3" t="inlineStr"/>
      <c r="D3" s="2" t="inlineStr">
        <is>
          <t>12/12/2025</t>
        </is>
      </c>
      <c r="E3" s="2" t="inlineStr">
        <is>
          <t>12/15/2025</t>
        </is>
      </c>
      <c r="F3" s="2" t="n"/>
      <c r="G3" s="2" t="n"/>
      <c r="H3" s="2" t="n"/>
      <c r="I3" s="2" t="n"/>
      <c r="J3" s="2">
        <f>IF(H3="X","Complete",IF(OR(F3="X",G3="X"),"In Progress","Not Started"))</f>
        <v/>
      </c>
      <c r="K3" s="3" t="n"/>
    </row>
    <row r="4">
      <c r="A4" s="2" t="n">
        <v>3</v>
      </c>
      <c r="B4" s="3" t="inlineStr">
        <is>
          <t>VRU PLC 3</t>
        </is>
      </c>
      <c r="C4" s="3" t="inlineStr"/>
      <c r="D4" s="2" t="inlineStr">
        <is>
          <t>12/16/2025</t>
        </is>
      </c>
      <c r="E4" s="2" t="inlineStr">
        <is>
          <t>12/17/2025</t>
        </is>
      </c>
      <c r="F4" s="2" t="n"/>
      <c r="G4" s="2" t="n"/>
      <c r="H4" s="2" t="n"/>
      <c r="I4" s="2" t="n"/>
      <c r="J4" s="2">
        <f>IF(H4="X","Complete",IF(OR(F4="X",G4="X"),"In Progress","Not Started"))</f>
        <v/>
      </c>
      <c r="K4" s="3" t="n"/>
    </row>
    <row r="5">
      <c r="A5" s="2" t="n">
        <v>4</v>
      </c>
      <c r="B5" s="3" t="inlineStr">
        <is>
          <t>VRU PLC 4</t>
        </is>
      </c>
      <c r="C5" s="3" t="inlineStr"/>
      <c r="D5" s="2" t="inlineStr">
        <is>
          <t>12/18/2025</t>
        </is>
      </c>
      <c r="E5" s="2" t="inlineStr">
        <is>
          <t>12/19/2025</t>
        </is>
      </c>
      <c r="F5" s="2" t="n"/>
      <c r="G5" s="2" t="n"/>
      <c r="H5" s="2" t="n"/>
      <c r="I5" s="2" t="n"/>
      <c r="J5" s="2">
        <f>IF(H5="X","Complete",IF(OR(F5="X",G5="X"),"In Progress","Not Started"))</f>
        <v/>
      </c>
      <c r="K5" s="3" t="n"/>
    </row>
    <row r="6">
      <c r="A6" s="2" t="n">
        <v>5</v>
      </c>
      <c r="B6" s="3" t="inlineStr">
        <is>
          <t>VRU PLC 5</t>
        </is>
      </c>
      <c r="C6" s="3" t="inlineStr"/>
      <c r="D6" s="2" t="inlineStr">
        <is>
          <t>12/22/2025</t>
        </is>
      </c>
      <c r="E6" s="2" t="inlineStr">
        <is>
          <t>12/23/2025</t>
        </is>
      </c>
      <c r="F6" s="2" t="n"/>
      <c r="G6" s="2" t="n"/>
      <c r="H6" s="2" t="n"/>
      <c r="I6" s="2" t="n"/>
      <c r="J6" s="2">
        <f>IF(H6="X","Complete",IF(OR(F6="X",G6="X"),"In Progress","Not Started"))</f>
        <v/>
      </c>
      <c r="K6" s="3" t="n"/>
    </row>
    <row r="7">
      <c r="A7" s="2" t="n">
        <v>6</v>
      </c>
      <c r="B7" s="3" t="inlineStr">
        <is>
          <t>VCU PLC 1</t>
        </is>
      </c>
      <c r="C7" s="3" t="inlineStr"/>
      <c r="D7" s="2" t="inlineStr">
        <is>
          <t>12/24/2025</t>
        </is>
      </c>
      <c r="E7" s="2" t="inlineStr">
        <is>
          <t>12/25/2025</t>
        </is>
      </c>
      <c r="F7" s="2" t="n"/>
      <c r="G7" s="2" t="n"/>
      <c r="H7" s="2" t="n"/>
      <c r="I7" s="2" t="n"/>
      <c r="J7" s="2">
        <f>IF(H7="X","Complete",IF(OR(F7="X",G7="X"),"In Progress","Not Started"))</f>
        <v/>
      </c>
      <c r="K7" s="3" t="n"/>
    </row>
    <row r="8">
      <c r="A8" s="2" t="n">
        <v>7</v>
      </c>
      <c r="B8" s="3" t="inlineStr">
        <is>
          <t>VCU PLC 2</t>
        </is>
      </c>
      <c r="C8" s="3" t="inlineStr"/>
      <c r="D8" s="2" t="inlineStr">
        <is>
          <t>12/26/2025</t>
        </is>
      </c>
      <c r="E8" s="2" t="inlineStr">
        <is>
          <t>12/29/2025</t>
        </is>
      </c>
      <c r="F8" s="2" t="n"/>
      <c r="G8" s="2" t="n"/>
      <c r="H8" s="2" t="n"/>
      <c r="I8" s="2" t="n"/>
      <c r="J8" s="2">
        <f>IF(H8="X","Complete",IF(OR(F8="X",G8="X"),"In Progress","Not Started"))</f>
        <v/>
      </c>
      <c r="K8" s="3" t="n"/>
    </row>
    <row r="9">
      <c r="A9" s="2" t="n">
        <v>8</v>
      </c>
      <c r="B9" s="3" t="inlineStr">
        <is>
          <t>Master PLC3</t>
        </is>
      </c>
      <c r="C9" s="3" t="inlineStr"/>
      <c r="D9" s="2" t="inlineStr">
        <is>
          <t>12/30/2025</t>
        </is>
      </c>
      <c r="E9" s="2" t="inlineStr">
        <is>
          <t>12/31/2025</t>
        </is>
      </c>
      <c r="F9" s="2" t="n"/>
      <c r="G9" s="2" t="n"/>
      <c r="H9" s="2" t="n"/>
      <c r="I9" s="2" t="n"/>
      <c r="J9" s="2">
        <f>IF(H9="X","Complete",IF(OR(F9="X",G9="X"),"In Progress","Not Started"))</f>
        <v/>
      </c>
      <c r="K9" s="3" t="n"/>
    </row>
    <row r="10">
      <c r="A10" s="2" t="n">
        <v>9</v>
      </c>
      <c r="B10" s="3" t="inlineStr">
        <is>
          <t>Master PLC4</t>
        </is>
      </c>
      <c r="C10" s="3" t="inlineStr"/>
      <c r="D10" s="2" t="inlineStr">
        <is>
          <t>01/01/2026</t>
        </is>
      </c>
      <c r="E10" s="2" t="inlineStr">
        <is>
          <t>01/02/2026</t>
        </is>
      </c>
      <c r="F10" s="2" t="n"/>
      <c r="G10" s="2" t="n"/>
      <c r="H10" s="2" t="n"/>
      <c r="I10" s="2" t="n"/>
      <c r="J10" s="2">
        <f>IF(H10="X","Complete",IF(OR(F10="X",G10="X"),"In Progress","Not Started"))</f>
        <v/>
      </c>
      <c r="K10" s="3" t="n"/>
    </row>
    <row r="11">
      <c r="A11" s="2" t="n">
        <v>10</v>
      </c>
      <c r="B11" s="3" t="inlineStr">
        <is>
          <t>MVCU PLC</t>
        </is>
      </c>
      <c r="C11" s="3" t="inlineStr"/>
      <c r="D11" s="2" t="inlineStr">
        <is>
          <t>01/05/2026</t>
        </is>
      </c>
      <c r="E11" s="2" t="inlineStr">
        <is>
          <t>01/06/2026</t>
        </is>
      </c>
      <c r="F11" s="2" t="n"/>
      <c r="G11" s="2" t="n"/>
      <c r="H11" s="2" t="n"/>
      <c r="I11" s="2" t="n"/>
      <c r="J11" s="2">
        <f>IF(H11="X","Complete",IF(OR(F11="X",G11="X"),"In Progress","Not Started"))</f>
        <v/>
      </c>
      <c r="K11" s="3" t="n"/>
    </row>
    <row r="12">
      <c r="A12" s="2" t="n">
        <v>11</v>
      </c>
      <c r="B12" s="3" t="inlineStr">
        <is>
          <t>Dock Safety Unit PLC 1</t>
        </is>
      </c>
      <c r="C12" s="3" t="inlineStr"/>
      <c r="D12" s="2" t="inlineStr">
        <is>
          <t>01/07/2026</t>
        </is>
      </c>
      <c r="E12" s="2" t="inlineStr">
        <is>
          <t>01/08/2026</t>
        </is>
      </c>
      <c r="F12" s="2" t="n"/>
      <c r="G12" s="2" t="n"/>
      <c r="H12" s="2" t="n"/>
      <c r="I12" s="2" t="n"/>
      <c r="J12" s="2">
        <f>IF(H12="X","Complete",IF(OR(F12="X",G12="X"),"In Progress","Not Started"))</f>
        <v/>
      </c>
      <c r="K12" s="3" t="n"/>
    </row>
    <row r="13">
      <c r="A13" s="2" t="n">
        <v>12</v>
      </c>
      <c r="B13" s="3" t="inlineStr">
        <is>
          <t>Dock Safety Unit PLC 2</t>
        </is>
      </c>
      <c r="C13" s="3" t="inlineStr"/>
      <c r="D13" s="2" t="inlineStr">
        <is>
          <t>01/09/2026</t>
        </is>
      </c>
      <c r="E13" s="2" t="inlineStr">
        <is>
          <t>01/12/2026</t>
        </is>
      </c>
      <c r="F13" s="2" t="n"/>
      <c r="G13" s="2" t="n"/>
      <c r="H13" s="2" t="n"/>
      <c r="I13" s="2" t="n"/>
      <c r="J13" s="2">
        <f>IF(H13="X","Complete",IF(OR(F13="X",G13="X"),"In Progress","Not Started"))</f>
        <v/>
      </c>
      <c r="K13" s="3" t="n"/>
    </row>
    <row r="14">
      <c r="A14" s="2" t="n">
        <v>13</v>
      </c>
      <c r="B14" s="3" t="inlineStr">
        <is>
          <t>Dock Safety Unit PLC 3</t>
        </is>
      </c>
      <c r="C14" s="3" t="inlineStr"/>
      <c r="D14" s="2" t="inlineStr">
        <is>
          <t>01/13/2026</t>
        </is>
      </c>
      <c r="E14" s="2" t="inlineStr">
        <is>
          <t>01/14/2026</t>
        </is>
      </c>
      <c r="F14" s="2" t="n"/>
      <c r="G14" s="2" t="n"/>
      <c r="H14" s="2" t="n"/>
      <c r="I14" s="2" t="n"/>
      <c r="J14" s="2">
        <f>IF(H14="X","Complete",IF(OR(F14="X",G14="X"),"In Progress","Not Started"))</f>
        <v/>
      </c>
      <c r="K14" s="3" t="n"/>
    </row>
    <row r="15">
      <c r="A15" s="2" t="n">
        <v>14</v>
      </c>
      <c r="B15" s="3" t="inlineStr">
        <is>
          <t>Dock Safety Unit PLC 4</t>
        </is>
      </c>
      <c r="C15" s="3" t="inlineStr"/>
      <c r="D15" s="2" t="inlineStr">
        <is>
          <t>01/15/2026</t>
        </is>
      </c>
      <c r="E15" s="2" t="inlineStr">
        <is>
          <t>01/16/2026</t>
        </is>
      </c>
      <c r="F15" s="2" t="n"/>
      <c r="G15" s="2" t="n"/>
      <c r="H15" s="2" t="n"/>
      <c r="I15" s="2" t="n"/>
      <c r="J15" s="2">
        <f>IF(H15="X","Complete",IF(OR(F15="X",G15="X"),"In Progress","Not Started"))</f>
        <v/>
      </c>
      <c r="K15" s="3" t="n"/>
    </row>
    <row r="16">
      <c r="A16" s="2" t="n">
        <v>15</v>
      </c>
      <c r="B16" s="3" t="inlineStr">
        <is>
          <t>Dock Safety Unit PLC 5</t>
        </is>
      </c>
      <c r="C16" s="3" t="inlineStr"/>
      <c r="D16" s="2" t="inlineStr">
        <is>
          <t>01/19/2026</t>
        </is>
      </c>
      <c r="E16" s="2" t="inlineStr">
        <is>
          <t>01/20/2026</t>
        </is>
      </c>
      <c r="F16" s="2" t="n"/>
      <c r="G16" s="2" t="n"/>
      <c r="H16" s="2" t="n"/>
      <c r="I16" s="2" t="n"/>
      <c r="J16" s="2">
        <f>IF(H16="X","Complete",IF(OR(F16="X",G16="X"),"In Progress","Not Started"))</f>
        <v/>
      </c>
      <c r="K16" s="3" t="n"/>
    </row>
    <row r="17">
      <c r="A17" s="2" t="n">
        <v>16</v>
      </c>
      <c r="B17" s="3" t="inlineStr">
        <is>
          <t>Dock Safety Unit PLC 6</t>
        </is>
      </c>
      <c r="C17" s="3" t="inlineStr"/>
      <c r="D17" s="2" t="inlineStr">
        <is>
          <t>01/21/2026</t>
        </is>
      </c>
      <c r="E17" s="2" t="inlineStr">
        <is>
          <t>01/22/2026</t>
        </is>
      </c>
      <c r="F17" s="2" t="n"/>
      <c r="G17" s="2" t="n"/>
      <c r="H17" s="2" t="n"/>
      <c r="I17" s="2" t="n"/>
      <c r="J17" s="2">
        <f>IF(H17="X","Complete",IF(OR(F17="X",G17="X"),"In Progress","Not Started"))</f>
        <v/>
      </c>
      <c r="K17" s="3" t="n"/>
    </row>
    <row r="18">
      <c r="A18" s="2" t="n">
        <v>17</v>
      </c>
      <c r="B18" s="3" t="inlineStr">
        <is>
          <t>Main Terminal PLC</t>
        </is>
      </c>
      <c r="C18" s="3" t="inlineStr">
        <is>
          <t>ControlLogix 1756-L72</t>
        </is>
      </c>
      <c r="D18" s="2" t="inlineStr">
        <is>
          <t>01/23/2026</t>
        </is>
      </c>
      <c r="E18" s="2" t="inlineStr">
        <is>
          <t>01/26/2026</t>
        </is>
      </c>
      <c r="F18" s="2" t="n"/>
      <c r="G18" s="2" t="n"/>
      <c r="H18" s="2" t="n"/>
      <c r="I18" s="2" t="n"/>
      <c r="J18" s="2">
        <f>IF(H18="X","Complete",IF(OR(F18="X",G18="X"),"In Progress","Not Started"))</f>
        <v/>
      </c>
      <c r="K18" s="3" t="n"/>
    </row>
    <row r="19">
      <c r="A19" s="2" t="n">
        <v>18</v>
      </c>
      <c r="B19" s="3" t="inlineStr">
        <is>
          <t>LACT PLC Panel w/ESD Panel</t>
        </is>
      </c>
      <c r="C19" s="3" t="inlineStr">
        <is>
          <t>MicroLogix 1100</t>
        </is>
      </c>
      <c r="D19" s="2" t="inlineStr">
        <is>
          <t>01/27/2026</t>
        </is>
      </c>
      <c r="E19" s="2" t="inlineStr">
        <is>
          <t>01/28/2026</t>
        </is>
      </c>
      <c r="F19" s="2" t="n"/>
      <c r="G19" s="2" t="n"/>
      <c r="H19" s="2" t="n"/>
      <c r="I19" s="2" t="n"/>
      <c r="J19" s="2">
        <f>IF(H19="X","Complete",IF(OR(F19="X",G19="X"),"In Progress","Not Started"))</f>
        <v/>
      </c>
      <c r="K19" s="3" t="n"/>
    </row>
    <row r="20">
      <c r="A20" s="2" t="n">
        <v>19</v>
      </c>
      <c r="B20" s="3" t="inlineStr">
        <is>
          <t>Tomahawk PLC Panel</t>
        </is>
      </c>
      <c r="C20" s="3" t="inlineStr">
        <is>
          <t>ControlLogix 1756-L72</t>
        </is>
      </c>
      <c r="D20" s="2" t="inlineStr">
        <is>
          <t>01/29/2026</t>
        </is>
      </c>
      <c r="E20" s="2" t="inlineStr">
        <is>
          <t>01/30/2026</t>
        </is>
      </c>
      <c r="F20" s="2" t="n"/>
      <c r="G20" s="2" t="n"/>
      <c r="H20" s="2" t="n"/>
      <c r="I20" s="2" t="n"/>
      <c r="J20" s="2">
        <f>IF(H20="X","Complete",IF(OR(F20="X",G20="X"),"In Progress","Not Started"))</f>
        <v/>
      </c>
      <c r="K20" s="3" t="n"/>
    </row>
    <row r="21">
      <c r="A21" s="2" t="n">
        <v>20</v>
      </c>
      <c r="B21" s="3" t="inlineStr">
        <is>
          <t>Dock 5 PLC Panel</t>
        </is>
      </c>
      <c r="C21" s="3" t="inlineStr">
        <is>
          <t>MicroLogix 1400</t>
        </is>
      </c>
      <c r="D21" s="2" t="inlineStr">
        <is>
          <t>02/02/2026</t>
        </is>
      </c>
      <c r="E21" s="2" t="inlineStr">
        <is>
          <t>02/03/2026</t>
        </is>
      </c>
      <c r="F21" s="2" t="n"/>
      <c r="G21" s="2" t="n"/>
      <c r="H21" s="2" t="n"/>
      <c r="I21" s="2" t="n"/>
      <c r="J21" s="2">
        <f>IF(H21="X","Complete",IF(OR(F21="X",G21="X"),"In Progress","Not Started"))</f>
        <v/>
      </c>
      <c r="K21" s="3" t="n"/>
    </row>
    <row r="22">
      <c r="A22" s="2" t="n">
        <v>21</v>
      </c>
      <c r="B22" s="3" t="inlineStr">
        <is>
          <t>80/50/RC PLC Panel w/ESD Panel</t>
        </is>
      </c>
      <c r="C22" s="3" t="inlineStr">
        <is>
          <t>MicroLogix 1400</t>
        </is>
      </c>
      <c r="D22" s="2" t="inlineStr">
        <is>
          <t>02/04/2026</t>
        </is>
      </c>
      <c r="E22" s="2" t="inlineStr">
        <is>
          <t>02/05/2026</t>
        </is>
      </c>
      <c r="F22" s="2" t="n"/>
      <c r="G22" s="2" t="n"/>
      <c r="H22" s="2" t="n"/>
      <c r="I22" s="2" t="n"/>
      <c r="J22" s="2">
        <f>IF(H22="X","Complete",IF(OR(F22="X",G22="X"),"In Progress","Not Started"))</f>
        <v/>
      </c>
      <c r="K22" s="3" t="n"/>
    </row>
    <row r="23">
      <c r="A23" s="2" t="n">
        <v>22</v>
      </c>
      <c r="B23" s="3" t="inlineStr">
        <is>
          <t>Butane Area Phase 1 PLC Panel</t>
        </is>
      </c>
      <c r="C23" s="3" t="inlineStr">
        <is>
          <t>MicroLogix 1400</t>
        </is>
      </c>
      <c r="D23" s="2" t="inlineStr">
        <is>
          <t>02/06/2026</t>
        </is>
      </c>
      <c r="E23" s="2" t="inlineStr">
        <is>
          <t>02/09/2026</t>
        </is>
      </c>
      <c r="F23" s="2" t="n"/>
      <c r="G23" s="2" t="n"/>
      <c r="H23" s="2" t="n"/>
      <c r="I23" s="2" t="n"/>
      <c r="J23" s="2">
        <f>IF(H23="X","Complete",IF(OR(F23="X",G23="X"),"In Progress","Not Started"))</f>
        <v/>
      </c>
      <c r="K23" s="3" t="n"/>
    </row>
    <row r="24">
      <c r="A24" s="2" t="n">
        <v>23</v>
      </c>
      <c r="B24" s="3" t="inlineStr">
        <is>
          <t>Butane Area Phase 2 PLC Panel</t>
        </is>
      </c>
      <c r="C24" s="3" t="inlineStr">
        <is>
          <t>MicroLogix 1400</t>
        </is>
      </c>
      <c r="D24" s="2" t="inlineStr">
        <is>
          <t>02/10/2026</t>
        </is>
      </c>
      <c r="E24" s="2" t="inlineStr">
        <is>
          <t>02/11/2026</t>
        </is>
      </c>
      <c r="F24" s="2" t="n"/>
      <c r="G24" s="2" t="n"/>
      <c r="H24" s="2" t="n"/>
      <c r="I24" s="2" t="n"/>
      <c r="J24" s="2">
        <f>IF(H24="X","Complete",IF(OR(F24="X",G24="X"),"In Progress","Not Started"))</f>
        <v/>
      </c>
      <c r="K24" s="3" t="n"/>
    </row>
    <row r="25">
      <c r="A25" s="2" t="n">
        <v>24</v>
      </c>
      <c r="B25" s="3" t="inlineStr">
        <is>
          <t>Butane Area Fire Eye PLC Panel</t>
        </is>
      </c>
      <c r="C25" s="3" t="inlineStr">
        <is>
          <t>MicroLogix 1400</t>
        </is>
      </c>
      <c r="D25" s="2" t="inlineStr">
        <is>
          <t>02/12/2026</t>
        </is>
      </c>
      <c r="E25" s="2" t="inlineStr">
        <is>
          <t>02/13/2026</t>
        </is>
      </c>
      <c r="F25" s="2" t="n"/>
      <c r="G25" s="2" t="n"/>
      <c r="H25" s="2" t="n"/>
      <c r="I25" s="2" t="n"/>
      <c r="J25" s="2">
        <f>IF(H25="X","Complete",IF(OR(F25="X",G25="X"),"In Progress","Not Started"))</f>
        <v/>
      </c>
      <c r="K25" s="3" t="n"/>
    </row>
    <row r="26">
      <c r="A26" s="2" t="n">
        <v>25</v>
      </c>
      <c r="B26" s="3" t="inlineStr">
        <is>
          <t>Valero PLC Panel w/ESD &amp; Fiber</t>
        </is>
      </c>
      <c r="C26" s="3" t="inlineStr">
        <is>
          <t>MicroLogix 1400</t>
        </is>
      </c>
      <c r="D26" s="2" t="inlineStr">
        <is>
          <t>02/16/2026</t>
        </is>
      </c>
      <c r="E26" s="2" t="inlineStr">
        <is>
          <t>02/17/2026</t>
        </is>
      </c>
      <c r="F26" s="2" t="n"/>
      <c r="G26" s="2" t="n"/>
      <c r="H26" s="2" t="n"/>
      <c r="I26" s="2" t="n"/>
      <c r="J26" s="2">
        <f>IF(H26="X","Complete",IF(OR(F26="X",G26="X"),"In Progress","Not Started"))</f>
        <v/>
      </c>
      <c r="K26" s="3" t="n"/>
    </row>
    <row r="27">
      <c r="A27" s="2" t="n">
        <v>26</v>
      </c>
      <c r="B27" s="3" t="inlineStr">
        <is>
          <t>Butane/Compressor PLC Panel w/ESD &amp; Fiber</t>
        </is>
      </c>
      <c r="C27" s="3" t="inlineStr">
        <is>
          <t>MicroLogix 1400</t>
        </is>
      </c>
      <c r="D27" s="2" t="inlineStr">
        <is>
          <t>02/18/2026</t>
        </is>
      </c>
      <c r="E27" s="2" t="inlineStr">
        <is>
          <t>02/19/2026</t>
        </is>
      </c>
      <c r="F27" s="2" t="n"/>
      <c r="G27" s="2" t="n"/>
      <c r="H27" s="2" t="n"/>
      <c r="I27" s="2" t="n"/>
      <c r="J27" s="2">
        <f>IF(H27="X","Complete",IF(OR(F27="X",G27="X"),"In Progress","Not Started"))</f>
        <v/>
      </c>
      <c r="K27" s="3" t="n"/>
    </row>
    <row r="28">
      <c r="A28" s="2" t="n">
        <v>27</v>
      </c>
      <c r="B28" s="3" t="inlineStr">
        <is>
          <t>East Dock PLC &amp; RIO-104 RIO Panels</t>
        </is>
      </c>
      <c r="C28" s="3" t="inlineStr">
        <is>
          <t>CompactLogix 1769-L30ER</t>
        </is>
      </c>
      <c r="D28" s="2" t="inlineStr">
        <is>
          <t>02/20/2026</t>
        </is>
      </c>
      <c r="E28" s="2" t="inlineStr">
        <is>
          <t>02/23/2026</t>
        </is>
      </c>
      <c r="F28" s="2" t="n"/>
      <c r="G28" s="2" t="n"/>
      <c r="H28" s="2" t="n"/>
      <c r="I28" s="2" t="n"/>
      <c r="J28" s="2">
        <f>IF(H28="X","Complete",IF(OR(F28="X",G28="X"),"In Progress","Not Started"))</f>
        <v/>
      </c>
      <c r="K28" s="3" t="n"/>
    </row>
    <row r="29">
      <c r="A29" s="2" t="n">
        <v>28</v>
      </c>
      <c r="B29" s="3" t="inlineStr">
        <is>
          <t>Phase 1C MCC PLC Panel</t>
        </is>
      </c>
      <c r="C29" s="3" t="inlineStr">
        <is>
          <t>CompactLogix 1769-L30ER</t>
        </is>
      </c>
      <c r="D29" s="2" t="inlineStr">
        <is>
          <t>02/24/2026</t>
        </is>
      </c>
      <c r="E29" s="2" t="inlineStr">
        <is>
          <t>02/25/2026</t>
        </is>
      </c>
      <c r="F29" s="2" t="n"/>
      <c r="G29" s="2" t="n"/>
      <c r="H29" s="2" t="n"/>
      <c r="I29" s="2" t="n"/>
      <c r="J29" s="2">
        <f>IF(H29="X","Complete",IF(OR(F29="X",G29="X"),"In Progress","Not Started"))</f>
        <v/>
      </c>
      <c r="K29" s="3" t="n"/>
    </row>
    <row r="30">
      <c r="A30" s="2" t="n">
        <v>29</v>
      </c>
      <c r="B30" s="3" t="inlineStr">
        <is>
          <t>Switch Rack 111 (NJB001) PLC Panel</t>
        </is>
      </c>
      <c r="C30" s="3" t="inlineStr">
        <is>
          <t>MicroLogix 1400</t>
        </is>
      </c>
      <c r="D30" s="2" t="inlineStr">
        <is>
          <t>02/26/2026</t>
        </is>
      </c>
      <c r="E30" s="2" t="inlineStr">
        <is>
          <t>02/27/2026</t>
        </is>
      </c>
      <c r="F30" s="2" t="n"/>
      <c r="G30" s="2" t="n"/>
      <c r="H30" s="2" t="n"/>
      <c r="I30" s="2" t="n"/>
      <c r="J30" s="2">
        <f>IF(H30="X","Complete",IF(OR(F30="X",G30="X"),"In Progress","Not Started"))</f>
        <v/>
      </c>
      <c r="K30" s="3" t="n"/>
    </row>
    <row r="31">
      <c r="A31" s="2" t="n">
        <v>30</v>
      </c>
      <c r="B31" s="3" t="inlineStr">
        <is>
          <t>Dock 1 TDRC-101 PLC &amp; RIO-102 RIO Panels</t>
        </is>
      </c>
      <c r="C31" s="3" t="inlineStr">
        <is>
          <t>CompactLogix 1769-L30ER</t>
        </is>
      </c>
      <c r="D31" s="2" t="inlineStr">
        <is>
          <t>03/02/2026</t>
        </is>
      </c>
      <c r="E31" s="2" t="inlineStr">
        <is>
          <t>03/03/2026</t>
        </is>
      </c>
      <c r="F31" s="2" t="n"/>
      <c r="G31" s="2" t="n"/>
      <c r="H31" s="2" t="n"/>
      <c r="I31" s="2" t="n"/>
      <c r="J31" s="2">
        <f>IF(H31="X","Complete",IF(OR(F31="X",G31="X"),"In Progress","Not Started"))</f>
        <v/>
      </c>
      <c r="K31" s="3" t="n"/>
    </row>
    <row r="32">
      <c r="A32" s="2" t="n">
        <v>31</v>
      </c>
      <c r="B32" s="3" t="inlineStr">
        <is>
          <t>Cactus 2 PLC Panel</t>
        </is>
      </c>
      <c r="C32" s="3" t="inlineStr">
        <is>
          <t>ControlLogix 1756-L72</t>
        </is>
      </c>
      <c r="D32" s="2" t="inlineStr">
        <is>
          <t>03/04/2026</t>
        </is>
      </c>
      <c r="E32" s="2" t="inlineStr">
        <is>
          <t>03/05/2026</t>
        </is>
      </c>
      <c r="F32" s="2" t="n"/>
      <c r="G32" s="2" t="n"/>
      <c r="H32" s="2" t="n"/>
      <c r="I32" s="2" t="n"/>
      <c r="J32" s="2">
        <f>IF(H32="X","Complete",IF(OR(F32="X",G32="X"),"In Progress","Not Started"))</f>
        <v/>
      </c>
      <c r="K32" s="3" t="n"/>
    </row>
    <row r="33">
      <c r="A33" s="2" t="n">
        <v>32</v>
      </c>
      <c r="B33" s="3" t="inlineStr">
        <is>
          <t>Switch Rack 113 PLC Panel 1</t>
        </is>
      </c>
      <c r="C33" s="3" t="inlineStr">
        <is>
          <t>MicroLogix 1400</t>
        </is>
      </c>
      <c r="D33" s="2" t="inlineStr">
        <is>
          <t>03/06/2026</t>
        </is>
      </c>
      <c r="E33" s="2" t="inlineStr">
        <is>
          <t>03/09/2026</t>
        </is>
      </c>
      <c r="F33" s="2" t="n"/>
      <c r="G33" s="2" t="n"/>
      <c r="H33" s="2" t="n"/>
      <c r="I33" s="2" t="n"/>
      <c r="J33" s="2">
        <f>IF(H33="X","Complete",IF(OR(F33="X",G33="X"),"In Progress","Not Started"))</f>
        <v/>
      </c>
      <c r="K33" s="3" t="n"/>
    </row>
    <row r="34">
      <c r="A34" s="2" t="n">
        <v>33</v>
      </c>
      <c r="B34" s="3" t="inlineStr">
        <is>
          <t>Switch Rack 113 PLC Panel 2</t>
        </is>
      </c>
      <c r="C34" s="3" t="inlineStr">
        <is>
          <t>MicroLogix 1400</t>
        </is>
      </c>
      <c r="D34" s="2" t="inlineStr">
        <is>
          <t>03/10/2026</t>
        </is>
      </c>
      <c r="E34" s="2" t="inlineStr">
        <is>
          <t>03/11/2026</t>
        </is>
      </c>
      <c r="F34" s="2" t="n"/>
      <c r="G34" s="2" t="n"/>
      <c r="H34" s="2" t="n"/>
      <c r="I34" s="2" t="n"/>
      <c r="J34" s="2">
        <f>IF(H34="X","Complete",IF(OR(F34="X",G34="X"),"In Progress","Not Started"))</f>
        <v/>
      </c>
      <c r="K34" s="3" t="n"/>
    </row>
    <row r="35">
      <c r="A35" s="2" t="n">
        <v>34</v>
      </c>
      <c r="B35" s="3" t="inlineStr">
        <is>
          <t>Fire System #2 PLC Panel</t>
        </is>
      </c>
      <c r="C35" s="3" t="inlineStr">
        <is>
          <t>MicroLogix 1100</t>
        </is>
      </c>
      <c r="D35" s="2" t="inlineStr">
        <is>
          <t>03/12/2026</t>
        </is>
      </c>
      <c r="E35" s="2" t="inlineStr">
        <is>
          <t>03/13/2026</t>
        </is>
      </c>
      <c r="F35" s="2" t="n"/>
      <c r="G35" s="2" t="n"/>
      <c r="H35" s="2" t="n"/>
      <c r="I35" s="2" t="n"/>
      <c r="J35" s="2">
        <f>IF(H35="X","Complete",IF(OR(F35="X",G35="X"),"In Progress","Not Started"))</f>
        <v/>
      </c>
      <c r="K35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18" customWidth="1" min="4" max="4"/>
  </cols>
  <sheetData>
    <row r="1">
      <c r="A1" s="4" t="inlineStr">
        <is>
          <t>Date</t>
        </is>
      </c>
      <c r="B1" s="4" t="inlineStr">
        <is>
          <t>Day #</t>
        </is>
      </c>
      <c r="C1" s="4" t="inlineStr">
        <is>
          <t>Planned Remaining</t>
        </is>
      </c>
      <c r="D1" s="4" t="inlineStr">
        <is>
          <t>Actual Remaining</t>
        </is>
      </c>
    </row>
    <row r="2">
      <c r="A2" s="2" t="inlineStr">
        <is>
          <t>12/10/2025</t>
        </is>
      </c>
      <c r="B2" s="2" t="n">
        <v>1</v>
      </c>
      <c r="C2" s="2" t="n">
        <v>33.5</v>
      </c>
      <c r="D2" s="2">
        <f>COUNTIF('PLC Tracking'!$H$2:$H$35,"&lt;&gt;X")</f>
        <v/>
      </c>
    </row>
    <row r="3">
      <c r="A3" s="2" t="inlineStr">
        <is>
          <t>12/11/2025</t>
        </is>
      </c>
      <c r="B3" s="2" t="n">
        <v>2</v>
      </c>
      <c r="C3" s="2" t="n">
        <v>33</v>
      </c>
      <c r="D3" s="2">
        <f>COUNTIF('PLC Tracking'!$H$2:$H$35,"&lt;&gt;X")</f>
        <v/>
      </c>
    </row>
    <row r="4">
      <c r="A4" s="2" t="inlineStr">
        <is>
          <t>12/12/2025</t>
        </is>
      </c>
      <c r="B4" s="2" t="n">
        <v>3</v>
      </c>
      <c r="C4" s="2" t="n">
        <v>32.5</v>
      </c>
      <c r="D4" s="2">
        <f>COUNTIF('PLC Tracking'!$H$2:$H$35,"&lt;&gt;X")</f>
        <v/>
      </c>
    </row>
    <row r="5">
      <c r="A5" s="2" t="inlineStr">
        <is>
          <t>12/15/2025</t>
        </is>
      </c>
      <c r="B5" s="2" t="n">
        <v>4</v>
      </c>
      <c r="C5" s="2" t="n">
        <v>32</v>
      </c>
      <c r="D5" s="2">
        <f>COUNTIF('PLC Tracking'!$H$2:$H$35,"&lt;&gt;X")</f>
        <v/>
      </c>
    </row>
    <row r="6">
      <c r="A6" s="2" t="inlineStr">
        <is>
          <t>12/16/2025</t>
        </is>
      </c>
      <c r="B6" s="2" t="n">
        <v>5</v>
      </c>
      <c r="C6" s="2" t="n">
        <v>31.5</v>
      </c>
      <c r="D6" s="2">
        <f>COUNTIF('PLC Tracking'!$H$2:$H$35,"&lt;&gt;X")</f>
        <v/>
      </c>
    </row>
    <row r="7">
      <c r="A7" s="2" t="inlineStr">
        <is>
          <t>12/17/2025</t>
        </is>
      </c>
      <c r="B7" s="2" t="n">
        <v>6</v>
      </c>
      <c r="C7" s="2" t="n">
        <v>31</v>
      </c>
      <c r="D7" s="2">
        <f>COUNTIF('PLC Tracking'!$H$2:$H$35,"&lt;&gt;X")</f>
        <v/>
      </c>
    </row>
    <row r="8">
      <c r="A8" s="2" t="inlineStr">
        <is>
          <t>12/18/2025</t>
        </is>
      </c>
      <c r="B8" s="2" t="n">
        <v>7</v>
      </c>
      <c r="C8" s="2" t="n">
        <v>30.5</v>
      </c>
      <c r="D8" s="2">
        <f>COUNTIF('PLC Tracking'!$H$2:$H$35,"&lt;&gt;X")</f>
        <v/>
      </c>
    </row>
    <row r="9">
      <c r="A9" s="2" t="inlineStr">
        <is>
          <t>12/19/2025</t>
        </is>
      </c>
      <c r="B9" s="2" t="n">
        <v>8</v>
      </c>
      <c r="C9" s="2" t="n">
        <v>30</v>
      </c>
      <c r="D9" s="2">
        <f>COUNTIF('PLC Tracking'!$H$2:$H$35,"&lt;&gt;X")</f>
        <v/>
      </c>
    </row>
    <row r="10">
      <c r="A10" s="2" t="inlineStr">
        <is>
          <t>12/22/2025</t>
        </is>
      </c>
      <c r="B10" s="2" t="n">
        <v>9</v>
      </c>
      <c r="C10" s="2" t="n">
        <v>29.5</v>
      </c>
      <c r="D10" s="2">
        <f>COUNTIF('PLC Tracking'!$H$2:$H$35,"&lt;&gt;X")</f>
        <v/>
      </c>
    </row>
    <row r="11">
      <c r="A11" s="2" t="inlineStr">
        <is>
          <t>12/23/2025</t>
        </is>
      </c>
      <c r="B11" s="2" t="n">
        <v>10</v>
      </c>
      <c r="C11" s="2" t="n">
        <v>29</v>
      </c>
      <c r="D11" s="2">
        <f>COUNTIF('PLC Tracking'!$H$2:$H$35,"&lt;&gt;X")</f>
        <v/>
      </c>
    </row>
    <row r="12">
      <c r="A12" s="2" t="inlineStr">
        <is>
          <t>12/24/2025</t>
        </is>
      </c>
      <c r="B12" s="2" t="n">
        <v>11</v>
      </c>
      <c r="C12" s="2" t="n">
        <v>28.5</v>
      </c>
      <c r="D12" s="2">
        <f>COUNTIF('PLC Tracking'!$H$2:$H$35,"&lt;&gt;X")</f>
        <v/>
      </c>
    </row>
    <row r="13">
      <c r="A13" s="2" t="inlineStr">
        <is>
          <t>12/25/2025</t>
        </is>
      </c>
      <c r="B13" s="2" t="n">
        <v>12</v>
      </c>
      <c r="C13" s="2" t="n">
        <v>28</v>
      </c>
      <c r="D13" s="2">
        <f>COUNTIF('PLC Tracking'!$H$2:$H$35,"&lt;&gt;X")</f>
        <v/>
      </c>
    </row>
    <row r="14">
      <c r="A14" s="2" t="inlineStr">
        <is>
          <t>12/26/2025</t>
        </is>
      </c>
      <c r="B14" s="2" t="n">
        <v>13</v>
      </c>
      <c r="C14" s="2" t="n">
        <v>27.5</v>
      </c>
      <c r="D14" s="2">
        <f>COUNTIF('PLC Tracking'!$H$2:$H$35,"&lt;&gt;X")</f>
        <v/>
      </c>
    </row>
    <row r="15">
      <c r="A15" s="2" t="inlineStr">
        <is>
          <t>12/29/2025</t>
        </is>
      </c>
      <c r="B15" s="2" t="n">
        <v>14</v>
      </c>
      <c r="C15" s="2" t="n">
        <v>27</v>
      </c>
      <c r="D15" s="2">
        <f>COUNTIF('PLC Tracking'!$H$2:$H$35,"&lt;&gt;X")</f>
        <v/>
      </c>
    </row>
    <row r="16">
      <c r="A16" s="2" t="inlineStr">
        <is>
          <t>12/30/2025</t>
        </is>
      </c>
      <c r="B16" s="2" t="n">
        <v>15</v>
      </c>
      <c r="C16" s="2" t="n">
        <v>26.5</v>
      </c>
      <c r="D16" s="2">
        <f>COUNTIF('PLC Tracking'!$H$2:$H$35,"&lt;&gt;X")</f>
        <v/>
      </c>
    </row>
    <row r="17">
      <c r="A17" s="2" t="inlineStr">
        <is>
          <t>12/31/2025</t>
        </is>
      </c>
      <c r="B17" s="2" t="n">
        <v>16</v>
      </c>
      <c r="C17" s="2" t="n">
        <v>26</v>
      </c>
      <c r="D17" s="2">
        <f>COUNTIF('PLC Tracking'!$H$2:$H$35,"&lt;&gt;X")</f>
        <v/>
      </c>
    </row>
    <row r="18">
      <c r="A18" s="2" t="inlineStr">
        <is>
          <t>01/01/2026</t>
        </is>
      </c>
      <c r="B18" s="2" t="n">
        <v>17</v>
      </c>
      <c r="C18" s="2" t="n">
        <v>25.5</v>
      </c>
      <c r="D18" s="2">
        <f>COUNTIF('PLC Tracking'!$H$2:$H$35,"&lt;&gt;X")</f>
        <v/>
      </c>
    </row>
    <row r="19">
      <c r="A19" s="2" t="inlineStr">
        <is>
          <t>01/02/2026</t>
        </is>
      </c>
      <c r="B19" s="2" t="n">
        <v>18</v>
      </c>
      <c r="C19" s="2" t="n">
        <v>25</v>
      </c>
      <c r="D19" s="2">
        <f>COUNTIF('PLC Tracking'!$H$2:$H$35,"&lt;&gt;X")</f>
        <v/>
      </c>
    </row>
    <row r="20">
      <c r="A20" s="2" t="inlineStr">
        <is>
          <t>01/05/2026</t>
        </is>
      </c>
      <c r="B20" s="2" t="n">
        <v>19</v>
      </c>
      <c r="C20" s="2" t="n">
        <v>24.5</v>
      </c>
      <c r="D20" s="2">
        <f>COUNTIF('PLC Tracking'!$H$2:$H$35,"&lt;&gt;X")</f>
        <v/>
      </c>
    </row>
    <row r="21">
      <c r="A21" s="2" t="inlineStr">
        <is>
          <t>01/06/2026</t>
        </is>
      </c>
      <c r="B21" s="2" t="n">
        <v>20</v>
      </c>
      <c r="C21" s="2" t="n">
        <v>24</v>
      </c>
      <c r="D21" s="2">
        <f>COUNTIF('PLC Tracking'!$H$2:$H$35,"&lt;&gt;X")</f>
        <v/>
      </c>
    </row>
    <row r="22">
      <c r="A22" s="2" t="inlineStr">
        <is>
          <t>01/07/2026</t>
        </is>
      </c>
      <c r="B22" s="2" t="n">
        <v>21</v>
      </c>
      <c r="C22" s="2" t="n">
        <v>23.5</v>
      </c>
      <c r="D22" s="2">
        <f>COUNTIF('PLC Tracking'!$H$2:$H$35,"&lt;&gt;X")</f>
        <v/>
      </c>
    </row>
    <row r="23">
      <c r="A23" s="2" t="inlineStr">
        <is>
          <t>01/08/2026</t>
        </is>
      </c>
      <c r="B23" s="2" t="n">
        <v>22</v>
      </c>
      <c r="C23" s="2" t="n">
        <v>23</v>
      </c>
      <c r="D23" s="2">
        <f>COUNTIF('PLC Tracking'!$H$2:$H$35,"&lt;&gt;X")</f>
        <v/>
      </c>
    </row>
    <row r="24">
      <c r="A24" s="2" t="inlineStr">
        <is>
          <t>01/09/2026</t>
        </is>
      </c>
      <c r="B24" s="2" t="n">
        <v>23</v>
      </c>
      <c r="C24" s="2" t="n">
        <v>22.5</v>
      </c>
      <c r="D24" s="2">
        <f>COUNTIF('PLC Tracking'!$H$2:$H$35,"&lt;&gt;X")</f>
        <v/>
      </c>
    </row>
    <row r="25">
      <c r="A25" s="2" t="inlineStr">
        <is>
          <t>01/12/2026</t>
        </is>
      </c>
      <c r="B25" s="2" t="n">
        <v>24</v>
      </c>
      <c r="C25" s="2" t="n">
        <v>22</v>
      </c>
      <c r="D25" s="2">
        <f>COUNTIF('PLC Tracking'!$H$2:$H$35,"&lt;&gt;X")</f>
        <v/>
      </c>
    </row>
    <row r="26">
      <c r="A26" s="2" t="inlineStr">
        <is>
          <t>01/13/2026</t>
        </is>
      </c>
      <c r="B26" s="2" t="n">
        <v>25</v>
      </c>
      <c r="C26" s="2" t="n">
        <v>21.5</v>
      </c>
      <c r="D26" s="2">
        <f>COUNTIF('PLC Tracking'!$H$2:$H$35,"&lt;&gt;X")</f>
        <v/>
      </c>
    </row>
    <row r="27">
      <c r="A27" s="2" t="inlineStr">
        <is>
          <t>01/14/2026</t>
        </is>
      </c>
      <c r="B27" s="2" t="n">
        <v>26</v>
      </c>
      <c r="C27" s="2" t="n">
        <v>21</v>
      </c>
      <c r="D27" s="2">
        <f>COUNTIF('PLC Tracking'!$H$2:$H$35,"&lt;&gt;X")</f>
        <v/>
      </c>
    </row>
    <row r="28">
      <c r="A28" s="2" t="inlineStr">
        <is>
          <t>01/15/2026</t>
        </is>
      </c>
      <c r="B28" s="2" t="n">
        <v>27</v>
      </c>
      <c r="C28" s="2" t="n">
        <v>20.5</v>
      </c>
      <c r="D28" s="2">
        <f>COUNTIF('PLC Tracking'!$H$2:$H$35,"&lt;&gt;X")</f>
        <v/>
      </c>
    </row>
    <row r="29">
      <c r="A29" s="2" t="inlineStr">
        <is>
          <t>01/16/2026</t>
        </is>
      </c>
      <c r="B29" s="2" t="n">
        <v>28</v>
      </c>
      <c r="C29" s="2" t="n">
        <v>20</v>
      </c>
      <c r="D29" s="2">
        <f>COUNTIF('PLC Tracking'!$H$2:$H$35,"&lt;&gt;X")</f>
        <v/>
      </c>
    </row>
    <row r="30">
      <c r="A30" s="2" t="inlineStr">
        <is>
          <t>01/19/2026</t>
        </is>
      </c>
      <c r="B30" s="2" t="n">
        <v>29</v>
      </c>
      <c r="C30" s="2" t="n">
        <v>19.5</v>
      </c>
      <c r="D30" s="2">
        <f>COUNTIF('PLC Tracking'!$H$2:$H$35,"&lt;&gt;X")</f>
        <v/>
      </c>
    </row>
    <row r="31">
      <c r="A31" s="2" t="inlineStr">
        <is>
          <t>01/20/2026</t>
        </is>
      </c>
      <c r="B31" s="2" t="n">
        <v>30</v>
      </c>
      <c r="C31" s="2" t="n">
        <v>19</v>
      </c>
      <c r="D31" s="2">
        <f>COUNTIF('PLC Tracking'!$H$2:$H$35,"&lt;&gt;X")</f>
        <v/>
      </c>
    </row>
    <row r="32">
      <c r="A32" s="2" t="inlineStr">
        <is>
          <t>01/21/2026</t>
        </is>
      </c>
      <c r="B32" s="2" t="n">
        <v>31</v>
      </c>
      <c r="C32" s="2" t="n">
        <v>18.5</v>
      </c>
      <c r="D32" s="2">
        <f>COUNTIF('PLC Tracking'!$H$2:$H$35,"&lt;&gt;X")</f>
        <v/>
      </c>
    </row>
    <row r="33">
      <c r="A33" s="2" t="inlineStr">
        <is>
          <t>01/22/2026</t>
        </is>
      </c>
      <c r="B33" s="2" t="n">
        <v>32</v>
      </c>
      <c r="C33" s="2" t="n">
        <v>18</v>
      </c>
      <c r="D33" s="2">
        <f>COUNTIF('PLC Tracking'!$H$2:$H$35,"&lt;&gt;X")</f>
        <v/>
      </c>
    </row>
    <row r="34">
      <c r="A34" s="2" t="inlineStr">
        <is>
          <t>01/23/2026</t>
        </is>
      </c>
      <c r="B34" s="2" t="n">
        <v>33</v>
      </c>
      <c r="C34" s="2" t="n">
        <v>17.5</v>
      </c>
      <c r="D34" s="2">
        <f>COUNTIF('PLC Tracking'!$H$2:$H$35,"&lt;&gt;X")</f>
        <v/>
      </c>
    </row>
    <row r="35">
      <c r="A35" s="2" t="inlineStr">
        <is>
          <t>01/26/2026</t>
        </is>
      </c>
      <c r="B35" s="2" t="n">
        <v>34</v>
      </c>
      <c r="C35" s="2" t="n">
        <v>17</v>
      </c>
      <c r="D35" s="2">
        <f>COUNTIF('PLC Tracking'!$H$2:$H$35,"&lt;&gt;X")</f>
        <v/>
      </c>
    </row>
    <row r="36">
      <c r="A36" s="2" t="inlineStr">
        <is>
          <t>01/27/2026</t>
        </is>
      </c>
      <c r="B36" s="2" t="n">
        <v>35</v>
      </c>
      <c r="C36" s="2" t="n">
        <v>16.5</v>
      </c>
      <c r="D36" s="2">
        <f>COUNTIF('PLC Tracking'!$H$2:$H$35,"&lt;&gt;X")</f>
        <v/>
      </c>
    </row>
    <row r="37">
      <c r="A37" s="2" t="inlineStr">
        <is>
          <t>01/28/2026</t>
        </is>
      </c>
      <c r="B37" s="2" t="n">
        <v>36</v>
      </c>
      <c r="C37" s="2" t="n">
        <v>16</v>
      </c>
      <c r="D37" s="2">
        <f>COUNTIF('PLC Tracking'!$H$2:$H$35,"&lt;&gt;X")</f>
        <v/>
      </c>
    </row>
    <row r="38">
      <c r="A38" s="2" t="inlineStr">
        <is>
          <t>01/29/2026</t>
        </is>
      </c>
      <c r="B38" s="2" t="n">
        <v>37</v>
      </c>
      <c r="C38" s="2" t="n">
        <v>15.5</v>
      </c>
      <c r="D38" s="2">
        <f>COUNTIF('PLC Tracking'!$H$2:$H$35,"&lt;&gt;X")</f>
        <v/>
      </c>
    </row>
    <row r="39">
      <c r="A39" s="2" t="inlineStr">
        <is>
          <t>01/30/2026</t>
        </is>
      </c>
      <c r="B39" s="2" t="n">
        <v>38</v>
      </c>
      <c r="C39" s="2" t="n">
        <v>15</v>
      </c>
      <c r="D39" s="2">
        <f>COUNTIF('PLC Tracking'!$H$2:$H$35,"&lt;&gt;X")</f>
        <v/>
      </c>
    </row>
    <row r="40">
      <c r="A40" s="2" t="inlineStr">
        <is>
          <t>02/02/2026</t>
        </is>
      </c>
      <c r="B40" s="2" t="n">
        <v>39</v>
      </c>
      <c r="C40" s="2" t="n">
        <v>14.5</v>
      </c>
      <c r="D40" s="2">
        <f>COUNTIF('PLC Tracking'!$H$2:$H$35,"&lt;&gt;X")</f>
        <v/>
      </c>
    </row>
    <row r="41">
      <c r="A41" s="2" t="inlineStr">
        <is>
          <t>02/03/2026</t>
        </is>
      </c>
      <c r="B41" s="2" t="n">
        <v>40</v>
      </c>
      <c r="C41" s="2" t="n">
        <v>14</v>
      </c>
      <c r="D41" s="2">
        <f>COUNTIF('PLC Tracking'!$H$2:$H$35,"&lt;&gt;X")</f>
        <v/>
      </c>
    </row>
    <row r="42">
      <c r="A42" s="2" t="inlineStr">
        <is>
          <t>02/04/2026</t>
        </is>
      </c>
      <c r="B42" s="2" t="n">
        <v>41</v>
      </c>
      <c r="C42" s="2" t="n">
        <v>13.5</v>
      </c>
      <c r="D42" s="2">
        <f>COUNTIF('PLC Tracking'!$H$2:$H$35,"&lt;&gt;X")</f>
        <v/>
      </c>
    </row>
    <row r="43">
      <c r="A43" s="2" t="inlineStr">
        <is>
          <t>02/05/2026</t>
        </is>
      </c>
      <c r="B43" s="2" t="n">
        <v>42</v>
      </c>
      <c r="C43" s="2" t="n">
        <v>13</v>
      </c>
      <c r="D43" s="2">
        <f>COUNTIF('PLC Tracking'!$H$2:$H$35,"&lt;&gt;X")</f>
        <v/>
      </c>
    </row>
    <row r="44">
      <c r="A44" s="2" t="inlineStr">
        <is>
          <t>02/06/2026</t>
        </is>
      </c>
      <c r="B44" s="2" t="n">
        <v>43</v>
      </c>
      <c r="C44" s="2" t="n">
        <v>12.5</v>
      </c>
      <c r="D44" s="2">
        <f>COUNTIF('PLC Tracking'!$H$2:$H$35,"&lt;&gt;X")</f>
        <v/>
      </c>
    </row>
    <row r="45">
      <c r="A45" s="2" t="inlineStr">
        <is>
          <t>02/09/2026</t>
        </is>
      </c>
      <c r="B45" s="2" t="n">
        <v>44</v>
      </c>
      <c r="C45" s="2" t="n">
        <v>12</v>
      </c>
      <c r="D45" s="2">
        <f>COUNTIF('PLC Tracking'!$H$2:$H$35,"&lt;&gt;X")</f>
        <v/>
      </c>
    </row>
    <row r="46">
      <c r="A46" s="2" t="inlineStr">
        <is>
          <t>02/10/2026</t>
        </is>
      </c>
      <c r="B46" s="2" t="n">
        <v>45</v>
      </c>
      <c r="C46" s="2" t="n">
        <v>11.5</v>
      </c>
      <c r="D46" s="2">
        <f>COUNTIF('PLC Tracking'!$H$2:$H$35,"&lt;&gt;X")</f>
        <v/>
      </c>
    </row>
    <row r="47">
      <c r="A47" s="2" t="inlineStr">
        <is>
          <t>02/11/2026</t>
        </is>
      </c>
      <c r="B47" s="2" t="n">
        <v>46</v>
      </c>
      <c r="C47" s="2" t="n">
        <v>11</v>
      </c>
      <c r="D47" s="2">
        <f>COUNTIF('PLC Tracking'!$H$2:$H$35,"&lt;&gt;X")</f>
        <v/>
      </c>
    </row>
    <row r="48">
      <c r="A48" s="2" t="inlineStr">
        <is>
          <t>02/12/2026</t>
        </is>
      </c>
      <c r="B48" s="2" t="n">
        <v>47</v>
      </c>
      <c r="C48" s="2" t="n">
        <v>10.5</v>
      </c>
      <c r="D48" s="2">
        <f>COUNTIF('PLC Tracking'!$H$2:$H$35,"&lt;&gt;X")</f>
        <v/>
      </c>
    </row>
    <row r="49">
      <c r="A49" s="2" t="inlineStr">
        <is>
          <t>02/13/2026</t>
        </is>
      </c>
      <c r="B49" s="2" t="n">
        <v>48</v>
      </c>
      <c r="C49" s="2" t="n">
        <v>10</v>
      </c>
      <c r="D49" s="2">
        <f>COUNTIF('PLC Tracking'!$H$2:$H$35,"&lt;&gt;X")</f>
        <v/>
      </c>
    </row>
    <row r="50">
      <c r="A50" s="2" t="inlineStr">
        <is>
          <t>02/16/2026</t>
        </is>
      </c>
      <c r="B50" s="2" t="n">
        <v>49</v>
      </c>
      <c r="C50" s="2" t="n">
        <v>9.5</v>
      </c>
      <c r="D50" s="2">
        <f>COUNTIF('PLC Tracking'!$H$2:$H$35,"&lt;&gt;X")</f>
        <v/>
      </c>
    </row>
    <row r="51">
      <c r="A51" s="2" t="inlineStr">
        <is>
          <t>02/17/2026</t>
        </is>
      </c>
      <c r="B51" s="2" t="n">
        <v>50</v>
      </c>
      <c r="C51" s="2" t="n">
        <v>9</v>
      </c>
      <c r="D51" s="2">
        <f>COUNTIF('PLC Tracking'!$H$2:$H$35,"&lt;&gt;X")</f>
        <v/>
      </c>
    </row>
    <row r="52">
      <c r="A52" s="2" t="inlineStr">
        <is>
          <t>02/18/2026</t>
        </is>
      </c>
      <c r="B52" s="2" t="n">
        <v>51</v>
      </c>
      <c r="C52" s="2" t="n">
        <v>8.5</v>
      </c>
      <c r="D52" s="2">
        <f>COUNTIF('PLC Tracking'!$H$2:$H$35,"&lt;&gt;X")</f>
        <v/>
      </c>
    </row>
    <row r="53">
      <c r="A53" s="2" t="inlineStr">
        <is>
          <t>02/19/2026</t>
        </is>
      </c>
      <c r="B53" s="2" t="n">
        <v>52</v>
      </c>
      <c r="C53" s="2" t="n">
        <v>8</v>
      </c>
      <c r="D53" s="2">
        <f>COUNTIF('PLC Tracking'!$H$2:$H$35,"&lt;&gt;X")</f>
        <v/>
      </c>
    </row>
    <row r="54">
      <c r="A54" s="2" t="inlineStr">
        <is>
          <t>02/20/2026</t>
        </is>
      </c>
      <c r="B54" s="2" t="n">
        <v>53</v>
      </c>
      <c r="C54" s="2" t="n">
        <v>7.5</v>
      </c>
      <c r="D54" s="2">
        <f>COUNTIF('PLC Tracking'!$H$2:$H$35,"&lt;&gt;X")</f>
        <v/>
      </c>
    </row>
    <row r="55">
      <c r="A55" s="2" t="inlineStr">
        <is>
          <t>02/23/2026</t>
        </is>
      </c>
      <c r="B55" s="2" t="n">
        <v>54</v>
      </c>
      <c r="C55" s="2" t="n">
        <v>7</v>
      </c>
      <c r="D55" s="2">
        <f>COUNTIF('PLC Tracking'!$H$2:$H$35,"&lt;&gt;X")</f>
        <v/>
      </c>
    </row>
    <row r="56">
      <c r="A56" s="2" t="inlineStr">
        <is>
          <t>02/24/2026</t>
        </is>
      </c>
      <c r="B56" s="2" t="n">
        <v>55</v>
      </c>
      <c r="C56" s="2" t="n">
        <v>6.5</v>
      </c>
      <c r="D56" s="2">
        <f>COUNTIF('PLC Tracking'!$H$2:$H$35,"&lt;&gt;X")</f>
        <v/>
      </c>
    </row>
    <row r="57">
      <c r="A57" s="2" t="inlineStr">
        <is>
          <t>02/25/2026</t>
        </is>
      </c>
      <c r="B57" s="2" t="n">
        <v>56</v>
      </c>
      <c r="C57" s="2" t="n">
        <v>6</v>
      </c>
      <c r="D57" s="2">
        <f>COUNTIF('PLC Tracking'!$H$2:$H$35,"&lt;&gt;X")</f>
        <v/>
      </c>
    </row>
    <row r="58">
      <c r="A58" s="2" t="inlineStr">
        <is>
          <t>02/26/2026</t>
        </is>
      </c>
      <c r="B58" s="2" t="n">
        <v>57</v>
      </c>
      <c r="C58" s="2" t="n">
        <v>5.5</v>
      </c>
      <c r="D58" s="2">
        <f>COUNTIF('PLC Tracking'!$H$2:$H$35,"&lt;&gt;X")</f>
        <v/>
      </c>
    </row>
    <row r="59">
      <c r="A59" s="2" t="inlineStr">
        <is>
          <t>02/27/2026</t>
        </is>
      </c>
      <c r="B59" s="2" t="n">
        <v>58</v>
      </c>
      <c r="C59" s="2" t="n">
        <v>5</v>
      </c>
      <c r="D59" s="2">
        <f>COUNTIF('PLC Tracking'!$H$2:$H$35,"&lt;&gt;X")</f>
        <v/>
      </c>
    </row>
    <row r="60">
      <c r="A60" s="2" t="inlineStr">
        <is>
          <t>03/02/2026</t>
        </is>
      </c>
      <c r="B60" s="2" t="n">
        <v>59</v>
      </c>
      <c r="C60" s="2" t="n">
        <v>4.5</v>
      </c>
      <c r="D60" s="2">
        <f>COUNTIF('PLC Tracking'!$H$2:$H$35,"&lt;&gt;X")</f>
        <v/>
      </c>
    </row>
    <row r="61">
      <c r="A61" s="2" t="inlineStr">
        <is>
          <t>03/03/2026</t>
        </is>
      </c>
      <c r="B61" s="2" t="n">
        <v>60</v>
      </c>
      <c r="C61" s="2" t="n">
        <v>4</v>
      </c>
      <c r="D61" s="2">
        <f>COUNTIF('PLC Tracking'!$H$2:$H$35,"&lt;&gt;X")</f>
        <v/>
      </c>
    </row>
    <row r="62">
      <c r="A62" s="2" t="inlineStr">
        <is>
          <t>03/04/2026</t>
        </is>
      </c>
      <c r="B62" s="2" t="n">
        <v>61</v>
      </c>
      <c r="C62" s="2" t="n">
        <v>3.5</v>
      </c>
      <c r="D62" s="2">
        <f>COUNTIF('PLC Tracking'!$H$2:$H$35,"&lt;&gt;X")</f>
        <v/>
      </c>
    </row>
    <row r="63">
      <c r="A63" s="2" t="inlineStr">
        <is>
          <t>03/05/2026</t>
        </is>
      </c>
      <c r="B63" s="2" t="n">
        <v>62</v>
      </c>
      <c r="C63" s="2" t="n">
        <v>3</v>
      </c>
      <c r="D63" s="2">
        <f>COUNTIF('PLC Tracking'!$H$2:$H$35,"&lt;&gt;X")</f>
        <v/>
      </c>
    </row>
    <row r="64">
      <c r="A64" s="2" t="inlineStr">
        <is>
          <t>03/06/2026</t>
        </is>
      </c>
      <c r="B64" s="2" t="n">
        <v>63</v>
      </c>
      <c r="C64" s="2" t="n">
        <v>2.5</v>
      </c>
      <c r="D64" s="2">
        <f>COUNTIF('PLC Tracking'!$H$2:$H$35,"&lt;&gt;X")</f>
        <v/>
      </c>
    </row>
    <row r="65">
      <c r="A65" s="2" t="inlineStr">
        <is>
          <t>03/09/2026</t>
        </is>
      </c>
      <c r="B65" s="2" t="n">
        <v>64</v>
      </c>
      <c r="C65" s="2" t="n">
        <v>2</v>
      </c>
      <c r="D65" s="2">
        <f>COUNTIF('PLC Tracking'!$H$2:$H$35,"&lt;&gt;X")</f>
        <v/>
      </c>
    </row>
    <row r="66">
      <c r="A66" s="2" t="inlineStr">
        <is>
          <t>03/10/2026</t>
        </is>
      </c>
      <c r="B66" s="2" t="n">
        <v>65</v>
      </c>
      <c r="C66" s="2" t="n">
        <v>1.5</v>
      </c>
      <c r="D66" s="2">
        <f>COUNTIF('PLC Tracking'!$H$2:$H$35,"&lt;&gt;X")</f>
        <v/>
      </c>
    </row>
    <row r="67">
      <c r="A67" s="2" t="inlineStr">
        <is>
          <t>03/11/2026</t>
        </is>
      </c>
      <c r="B67" s="2" t="n">
        <v>66</v>
      </c>
      <c r="C67" s="2" t="n">
        <v>1</v>
      </c>
      <c r="D67" s="2">
        <f>COUNTIF('PLC Tracking'!$H$2:$H$35,"&lt;&gt;X")</f>
        <v/>
      </c>
    </row>
    <row r="68">
      <c r="A68" s="2" t="inlineStr">
        <is>
          <t>03/12/2026</t>
        </is>
      </c>
      <c r="B68" s="2" t="n">
        <v>67</v>
      </c>
      <c r="C68" s="2" t="n">
        <v>0.5</v>
      </c>
      <c r="D68" s="2">
        <f>COUNTIF('PLC Tracking'!$H$2:$H$35,"&lt;&gt;X")</f>
        <v/>
      </c>
    </row>
    <row r="69">
      <c r="A69" s="2" t="inlineStr">
        <is>
          <t>03/13/2026</t>
        </is>
      </c>
      <c r="B69" s="2" t="n">
        <v>68</v>
      </c>
      <c r="C69" s="2" t="n">
        <v>0</v>
      </c>
      <c r="D69" s="2">
        <f>COUNTIF('PLC Tracking'!$H$2:$H$35,"&lt;&gt;X")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Project Summary</t>
        </is>
      </c>
      <c r="B1" t="inlineStr"/>
    </row>
    <row r="2">
      <c r="A2" s="6" t="inlineStr"/>
      <c r="B2" t="inlineStr"/>
    </row>
    <row r="3">
      <c r="A3" s="6" t="inlineStr">
        <is>
          <t>Total PLCs</t>
        </is>
      </c>
      <c r="B3" s="7" t="n">
        <v>34</v>
      </c>
    </row>
    <row r="4">
      <c r="A4" s="6" t="inlineStr">
        <is>
          <t>Days per PLC</t>
        </is>
      </c>
      <c r="B4" s="7" t="n">
        <v>2</v>
      </c>
    </row>
    <row r="5">
      <c r="A5" s="6" t="inlineStr">
        <is>
          <t>Total Work Days</t>
        </is>
      </c>
      <c r="B5" s="7" t="n">
        <v>68</v>
      </c>
    </row>
    <row r="6">
      <c r="A6" s="6" t="inlineStr"/>
      <c r="B6" t="inlineStr"/>
    </row>
    <row r="7">
      <c r="A7" s="6" t="inlineStr">
        <is>
          <t>Start Date</t>
        </is>
      </c>
      <c r="B7" s="7" t="inlineStr">
        <is>
          <t>12/10/2025</t>
        </is>
      </c>
    </row>
    <row r="8">
      <c r="A8" s="6" t="inlineStr">
        <is>
          <t>End Date</t>
        </is>
      </c>
      <c r="B8" s="7" t="inlineStr">
        <is>
          <t>03/13/2026</t>
        </is>
      </c>
    </row>
    <row r="9">
      <c r="A9" s="6" t="inlineStr"/>
      <c r="B9" t="inlineStr"/>
    </row>
    <row r="10">
      <c r="A10" s="5" t="inlineStr">
        <is>
          <t>Progress Tracking</t>
        </is>
      </c>
      <c r="B10" t="inlineStr"/>
    </row>
    <row r="11">
      <c r="A11" s="6" t="inlineStr">
        <is>
          <t>PLCs Completed</t>
        </is>
      </c>
      <c r="B11" s="7">
        <f>COUNTIF('PLC Tracking'!$H$2:$H$35,"X")</f>
        <v/>
      </c>
    </row>
    <row r="12">
      <c r="A12" s="6" t="inlineStr">
        <is>
          <t>PLCs In Progress</t>
        </is>
      </c>
      <c r="B12" s="7">
        <f>COUNTIFS('PLC Tracking'!$H$2:$H$35,"&lt;&gt;X",'PLC Tracking'!$F$2:$F$35,"X")+COUNTIFS('PLC Tracking'!$H$2:$H$35,"&lt;&gt;X",'PLC Tracking'!$G$2:$G$35,"X")</f>
        <v/>
      </c>
    </row>
    <row r="13">
      <c r="A13" s="6" t="inlineStr">
        <is>
          <t>PLCs Not Started</t>
        </is>
      </c>
      <c r="B13" s="7">
        <f>COUNTIFS('PLC Tracking'!$F$2:$F$35,"&lt;&gt;X",'PLC Tracking'!$G$2:$G$35,"&lt;&gt;X")</f>
        <v/>
      </c>
    </row>
    <row r="14">
      <c r="A14" s="6" t="inlineStr"/>
      <c r="B14" t="inlineStr"/>
    </row>
    <row r="15">
      <c r="A15" s="6" t="inlineStr">
        <is>
          <t>% Complete</t>
        </is>
      </c>
      <c r="B15" s="7">
        <f>ROUND((B11/34)*100,1)&amp;"%"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2025-12-12T16:03:22Z</dcterms:created>
  <dcterms:modified xsi:type="dcterms:W3CDTF">2025-12-12T16:03:22Z</dcterms:modified>
</cp:coreProperties>
</file>